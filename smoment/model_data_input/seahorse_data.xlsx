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manuel.lange\git\mitocore-smoment-model\model_data_input\"/>
    </mc:Choice>
  </mc:AlternateContent>
  <xr:revisionPtr revIDLastSave="0" documentId="13_ncr:1_{6432742B-137A-4F09-9C1C-BB368566ECD6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plt_r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 s="1"/>
  <c r="D8" i="1"/>
  <c r="E8" i="1" s="1"/>
  <c r="E9" i="1"/>
  <c r="D4" i="1"/>
  <c r="E4" i="1"/>
  <c r="D2" i="1"/>
  <c r="E2" i="1" s="1"/>
  <c r="D7" i="1"/>
  <c r="E7" i="1" s="1"/>
  <c r="D5" i="1"/>
  <c r="E5" i="1" s="1"/>
  <c r="E6" i="1"/>
  <c r="E3" i="1"/>
</calcChain>
</file>

<file path=xl/sharedStrings.xml><?xml version="1.0" encoding="utf-8"?>
<sst xmlns="http://schemas.openxmlformats.org/spreadsheetml/2006/main" count="23" uniqueCount="15">
  <si>
    <t>parameter</t>
  </si>
  <si>
    <t>model_reaction</t>
  </si>
  <si>
    <t>cells</t>
  </si>
  <si>
    <t>original_value_pmol_min</t>
  </si>
  <si>
    <t>value_mmol_gdw_h</t>
  </si>
  <si>
    <t>OF_ATP_MitoCore</t>
  </si>
  <si>
    <t>ATP synthesis rate max</t>
  </si>
  <si>
    <t>ATP synthesis rate mean</t>
  </si>
  <si>
    <t>ATP synthesis rate min</t>
  </si>
  <si>
    <t>ATP glyco synthesis rate max</t>
  </si>
  <si>
    <t>ATP glyco synthesis rate mean</t>
  </si>
  <si>
    <t>ATP glyco synthesis rate min</t>
  </si>
  <si>
    <t>ATP mito synthesis rate max</t>
  </si>
  <si>
    <t>ATP mito synthesis rate mean</t>
  </si>
  <si>
    <t>ATP mito synthesis rate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</si>
</sst>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21" sqref="E21"/>
    </sheetView>
  </sheetViews>
  <sheetFormatPr baseColWidth="10" defaultColWidth="8.7265625" defaultRowHeight="14.5" x14ac:dyDescent="0.35"/>
  <cols>
    <col min="1" max="1" width="25.08984375" customWidth="1"/>
    <col min="2" max="2" width="22.90625" customWidth="1"/>
    <col min="3" max="3" width="26.1796875" customWidth="1"/>
    <col min="4" max="4" width="26.08984375" customWidth="1"/>
    <col min="5" max="5" width="43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</v>
      </c>
      <c r="B2" t="s">
        <v>5</v>
      </c>
      <c r="C2" s="1">
        <v>10000000</v>
      </c>
      <c r="D2">
        <f>D3+173</f>
        <v>779</v>
      </c>
      <c r="E2" s="2">
        <f>D2*60*1000/(C2*2.13)</f>
        <v>2.1943661971830988</v>
      </c>
    </row>
    <row r="3" spans="1:5" x14ac:dyDescent="0.35">
      <c r="A3" t="s">
        <v>7</v>
      </c>
      <c r="B3" t="s">
        <v>5</v>
      </c>
      <c r="C3" s="1">
        <v>10000000</v>
      </c>
      <c r="D3">
        <v>606</v>
      </c>
      <c r="E3" s="2">
        <f>D3*60*1000/(C3*2.13)</f>
        <v>1.7070422535211267</v>
      </c>
    </row>
    <row r="4" spans="1:5" x14ac:dyDescent="0.35">
      <c r="A4" t="s">
        <v>8</v>
      </c>
      <c r="B4" t="s">
        <v>5</v>
      </c>
      <c r="C4" s="1">
        <v>10000000</v>
      </c>
      <c r="D4">
        <f>D3-173</f>
        <v>433</v>
      </c>
      <c r="E4" s="2">
        <f>D4*60*1000/(C4*2.13)</f>
        <v>1.2197183098591549</v>
      </c>
    </row>
    <row r="5" spans="1:5" x14ac:dyDescent="0.35">
      <c r="A5" t="s">
        <v>9</v>
      </c>
      <c r="B5" t="s">
        <v>5</v>
      </c>
      <c r="C5" s="1">
        <v>10000000</v>
      </c>
      <c r="D5">
        <f>D6+59</f>
        <v>205</v>
      </c>
      <c r="E5" s="2">
        <f>D5*60*1000/(C5*2.13)</f>
        <v>0.57746478873239437</v>
      </c>
    </row>
    <row r="6" spans="1:5" x14ac:dyDescent="0.35">
      <c r="A6" t="s">
        <v>10</v>
      </c>
      <c r="B6" t="s">
        <v>5</v>
      </c>
      <c r="C6" s="1">
        <v>10000000</v>
      </c>
      <c r="D6">
        <v>146</v>
      </c>
      <c r="E6" s="2">
        <f>D6*60*1000/(C6*2.13)</f>
        <v>0.41126760563380282</v>
      </c>
    </row>
    <row r="7" spans="1:5" x14ac:dyDescent="0.35">
      <c r="A7" t="s">
        <v>11</v>
      </c>
      <c r="B7" t="s">
        <v>5</v>
      </c>
      <c r="C7" s="1">
        <v>10000000</v>
      </c>
      <c r="D7">
        <f>D6-59</f>
        <v>87</v>
      </c>
      <c r="E7" s="2">
        <f>D7*60*1000/(C7*2.13)</f>
        <v>0.24507042253521127</v>
      </c>
    </row>
    <row r="8" spans="1:5" x14ac:dyDescent="0.35">
      <c r="A8" t="s">
        <v>12</v>
      </c>
      <c r="B8" t="s">
        <v>5</v>
      </c>
      <c r="C8" s="1">
        <v>10000000</v>
      </c>
      <c r="D8">
        <f>D9+143</f>
        <v>603</v>
      </c>
      <c r="E8" s="2">
        <f>D8*60*1000/(C8*2.13)</f>
        <v>1.6985915492957746</v>
      </c>
    </row>
    <row r="9" spans="1:5" x14ac:dyDescent="0.35">
      <c r="A9" t="s">
        <v>13</v>
      </c>
      <c r="B9" t="s">
        <v>5</v>
      </c>
      <c r="C9" s="1">
        <v>10000000</v>
      </c>
      <c r="D9">
        <v>460</v>
      </c>
      <c r="E9" s="2">
        <f>D9*60*1000/(C9*2.13)</f>
        <v>1.295774647887324</v>
      </c>
    </row>
    <row r="10" spans="1:5" x14ac:dyDescent="0.35">
      <c r="A10" t="s">
        <v>14</v>
      </c>
      <c r="B10" t="s">
        <v>5</v>
      </c>
      <c r="C10" s="1">
        <v>10000000</v>
      </c>
      <c r="D10">
        <f>D9-143</f>
        <v>317</v>
      </c>
      <c r="E10" s="2">
        <f>D10*60*1000/(C10*2.13)</f>
        <v>0.89295774647887327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plt_resting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Lange, Emanuel</cp:lastModifiedBy>
  <dcterms:created xsi:type="dcterms:W3CDTF">2025-08-14T09:03:39Z</dcterms:created>
  <dcterms:modified xsi:type="dcterms:W3CDTF">2026-01-16T11:53:07Z</dcterms:modified>
</cp:coreProperties>
</file>